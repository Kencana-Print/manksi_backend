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an\"/>
    </mc:Choice>
  </mc:AlternateContent>
  <xr:revisionPtr revIDLastSave="0" documentId="8_{5CBCEE51-1108-45C8-8B87-52CE85B7248F}" xr6:coauthVersionLast="47" xr6:coauthVersionMax="47" xr10:uidLastSave="{00000000-0000-0000-0000-000000000000}"/>
  <bookViews>
    <workbookView xWindow="-120" yWindow="-120" windowWidth="29040" windowHeight="15720" xr2:uid="{8643CC06-FAD0-4CA4-9547-6F7CBFF5A557}"/>
  </bookViews>
  <sheets>
    <sheet name="FORM LAY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1" l="1"/>
  <c r="S7" i="1"/>
  <c r="T7" i="1"/>
  <c r="U7" i="1"/>
  <c r="D9" i="1"/>
  <c r="F9" i="1"/>
  <c r="R9" i="1"/>
  <c r="T9" i="1"/>
  <c r="D10" i="1"/>
  <c r="F10" i="1"/>
  <c r="R10" i="1"/>
  <c r="F11" i="1"/>
  <c r="R11" i="1"/>
  <c r="F12" i="1"/>
  <c r="R12" i="1"/>
  <c r="F13" i="1"/>
  <c r="R13" i="1"/>
  <c r="F14" i="1"/>
  <c r="R14" i="1"/>
  <c r="E16" i="1"/>
  <c r="E17" i="1" s="1"/>
  <c r="F16" i="1"/>
  <c r="F17" i="1" s="1"/>
  <c r="R16" i="1"/>
  <c r="S16" i="1"/>
  <c r="J3" i="1" l="1"/>
  <c r="Q4" i="1" s="1"/>
  <c r="T10" i="1"/>
  <c r="T13" i="1"/>
  <c r="D11" i="1"/>
  <c r="D14" i="1"/>
  <c r="E18" i="1"/>
  <c r="T14" i="1"/>
  <c r="D12" i="1"/>
  <c r="T12" i="1"/>
  <c r="D13" i="1"/>
  <c r="T11" i="1"/>
  <c r="D16" i="1" l="1"/>
  <c r="T16" i="1"/>
  <c r="D1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fadli</author>
  </authors>
  <commentList>
    <comment ref="J3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fadli:</t>
        </r>
        <r>
          <rPr>
            <sz val="9"/>
            <color indexed="81"/>
            <rFont val="Tahoma"/>
            <family val="2"/>
          </rPr>
          <t xml:space="preserve">
RUMUS</t>
        </r>
      </text>
    </comment>
    <comment ref="Q3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fadli:</t>
        </r>
        <r>
          <rPr>
            <sz val="9"/>
            <color indexed="81"/>
            <rFont val="Tahoma"/>
            <family val="2"/>
          </rPr>
          <t xml:space="preserve">
DIISI SESUAI KEBUTUHAN BISA NAIK ATAU TURUN</t>
        </r>
      </text>
    </comment>
    <comment ref="E9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fadli:</t>
        </r>
        <r>
          <rPr>
            <sz val="9"/>
            <color indexed="81"/>
            <rFont val="Tahoma"/>
            <family val="2"/>
          </rPr>
          <t xml:space="preserve">
DIISI DETIK/WAKTU SAAT STUDY TIME DI PROOF</t>
        </r>
      </text>
    </comment>
  </commentList>
</comments>
</file>

<file path=xl/sharedStrings.xml><?xml version="1.0" encoding="utf-8"?>
<sst xmlns="http://schemas.openxmlformats.org/spreadsheetml/2006/main" count="75" uniqueCount="58">
  <si>
    <t xml:space="preserve">OVERDEX </t>
  </si>
  <si>
    <t xml:space="preserve">SNL </t>
  </si>
  <si>
    <t xml:space="preserve">OM 4 </t>
  </si>
  <si>
    <t>OM 4 = OBRAS MECHINE TREAD 4 (MESIN OBRAS BENANG 4)</t>
  </si>
  <si>
    <t>DNL = DOUBLE NIDDLE ( MESIN JAHIT JARUM 2)</t>
  </si>
  <si>
    <t>OVERDECK = OVERDECK</t>
  </si>
  <si>
    <t>SNL = SINGLE NEEDLE (MESIN JAHIT JARUM 1)</t>
  </si>
  <si>
    <t>(                                               )</t>
  </si>
  <si>
    <t>(                                                      )</t>
  </si>
  <si>
    <t>SPV SEWING</t>
  </si>
  <si>
    <t>LEADER SEWING</t>
  </si>
  <si>
    <t>LEADER PROOF</t>
  </si>
  <si>
    <t>MENGETAHUI</t>
  </si>
  <si>
    <t>TERTANDA</t>
  </si>
  <si>
    <t>TOTAL DALAM MENIT</t>
  </si>
  <si>
    <t>TOTAL</t>
  </si>
  <si>
    <t>SUMMARY 2</t>
  </si>
  <si>
    <t>SUMMARY 1</t>
  </si>
  <si>
    <t>DC</t>
  </si>
  <si>
    <t>OM4</t>
  </si>
  <si>
    <t>OBRAS BAHU</t>
  </si>
  <si>
    <t>JAHIT RIB</t>
  </si>
  <si>
    <t>SNL</t>
  </si>
  <si>
    <t xml:space="preserve">DB </t>
  </si>
  <si>
    <t>CL</t>
  </si>
  <si>
    <t>OBRAS RIB LEHER</t>
  </si>
  <si>
    <t>PASANG BLAZER (MANUAL)</t>
  </si>
  <si>
    <t>DB</t>
  </si>
  <si>
    <t>NUTUP BLAZER + PASANG SIZE</t>
  </si>
  <si>
    <t>DEK LENGAN</t>
  </si>
  <si>
    <t>OVERDECK</t>
  </si>
  <si>
    <t>UYX</t>
  </si>
  <si>
    <t>OBRAS PASANG LENGAN</t>
  </si>
  <si>
    <t>OBRAS SAMPING</t>
  </si>
  <si>
    <t xml:space="preserve">DC </t>
  </si>
  <si>
    <t>HEMMING BAWAH</t>
  </si>
  <si>
    <t>SEPATU</t>
  </si>
  <si>
    <t>UK.JARUM</t>
  </si>
  <si>
    <t>M/C</t>
  </si>
  <si>
    <t>PROSES</t>
  </si>
  <si>
    <t>SELESAI</t>
  </si>
  <si>
    <t>CT (jam)</t>
  </si>
  <si>
    <t>CT (dt)</t>
  </si>
  <si>
    <t>MP</t>
  </si>
  <si>
    <t>NAMA OP.</t>
  </si>
  <si>
    <t>TANGGAL :</t>
  </si>
  <si>
    <t>JK:</t>
  </si>
  <si>
    <t>PROOF</t>
  </si>
  <si>
    <t>LINE :</t>
  </si>
  <si>
    <t>TARGET/HARI :</t>
  </si>
  <si>
    <t>MP :</t>
  </si>
  <si>
    <t>KAOS PERTAMINA</t>
  </si>
  <si>
    <t>NAMA MEMO :</t>
  </si>
  <si>
    <t>EFFISEENSI :</t>
  </si>
  <si>
    <t>POJ :</t>
  </si>
  <si>
    <t>MAP-JA-KO-2118</t>
  </si>
  <si>
    <t>NO MEMO :</t>
  </si>
  <si>
    <t>LAY OUT PROSES KERJA SEWING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</si>
</sst>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"/>
    <numFmt numFmtId="165" formatCode="_(* #,##0.0_);_(* \(#,##0.0\);_(* &quot;-&quot;?_);_(@_)"/>
    <numFmt numFmtId="166" formatCode="_(* #,##0.00_);_(* \(#,##0.00\);_(* &quot;-&quot;??_);_(@_)"/>
    <numFmt numFmtId="167" formatCode="_(* #,##0_);_(* \(#,##0\);_(* &quot;-&quot;_);_(@_)"/>
    <numFmt numFmtId="168" formatCode="_(* #,##0.0_);_(* \(#,##0.0\);_(* &quot;-&quot;_);_(@_)"/>
    <numFmt numFmtId="169" formatCode="_(* #,##0.00_);_(* \(#,##0.00\);_(* &quot;-&quot;_);_(@_)"/>
    <numFmt numFmtId="170" formatCode="0_ "/>
    <numFmt numFmtId="171" formatCode="0.00_ "/>
    <numFmt numFmtId="172" formatCode="0.0%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b/>
      <u/>
      <sz val="12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167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89">
    <xf numFmtId="0" fontId="0" fillId="0" borderId="0" xfId="0"/>
    <xf numFmtId="0" fontId="1" fillId="0" borderId="0" xfId="1" applyAlignment="1">
      <alignment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vertical="center" wrapText="1"/>
    </xf>
    <xf numFmtId="1" fontId="5" fillId="0" borderId="0" xfId="1" applyNumberFormat="1" applyFont="1" applyAlignment="1">
      <alignment vertical="center" wrapText="1"/>
    </xf>
    <xf numFmtId="164" fontId="5" fillId="0" borderId="0" xfId="1" applyNumberFormat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4" fillId="0" borderId="0" xfId="1" applyFont="1" applyAlignment="1">
      <alignment vertical="center"/>
    </xf>
    <xf numFmtId="9" fontId="3" fillId="0" borderId="0" xfId="1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7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1" fillId="0" borderId="1" xfId="1" applyBorder="1" applyAlignment="1">
      <alignment vertical="center"/>
    </xf>
    <xf numFmtId="0" fontId="3" fillId="0" borderId="2" xfId="1" applyFont="1" applyBorder="1" applyAlignment="1">
      <alignment vertical="center" wrapText="1"/>
    </xf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vertical="center" wrapText="1"/>
    </xf>
    <xf numFmtId="0" fontId="1" fillId="0" borderId="3" xfId="1" applyBorder="1" applyAlignment="1">
      <alignment vertical="center"/>
    </xf>
    <xf numFmtId="0" fontId="1" fillId="0" borderId="4" xfId="1" applyBorder="1" applyAlignment="1">
      <alignment vertical="center"/>
    </xf>
    <xf numFmtId="0" fontId="1" fillId="0" borderId="5" xfId="1" applyBorder="1" applyAlignment="1">
      <alignment vertical="center"/>
    </xf>
    <xf numFmtId="0" fontId="3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165" fontId="3" fillId="0" borderId="0" xfId="1" applyNumberFormat="1" applyFont="1" applyAlignment="1">
      <alignment vertical="center"/>
    </xf>
    <xf numFmtId="166" fontId="3" fillId="3" borderId="6" xfId="1" applyNumberFormat="1" applyFont="1" applyFill="1" applyBorder="1" applyAlignment="1">
      <alignment vertical="center"/>
    </xf>
    <xf numFmtId="0" fontId="3" fillId="4" borderId="7" xfId="1" applyFont="1" applyFill="1" applyBorder="1" applyAlignment="1">
      <alignment horizontal="right" vertical="center" wrapText="1"/>
    </xf>
    <xf numFmtId="0" fontId="3" fillId="4" borderId="8" xfId="1" applyFont="1" applyFill="1" applyBorder="1" applyAlignment="1">
      <alignment horizontal="right" vertical="center" wrapText="1"/>
    </xf>
    <xf numFmtId="0" fontId="3" fillId="0" borderId="6" xfId="1" applyFont="1" applyBorder="1" applyAlignment="1">
      <alignment horizontal="center" vertical="center" wrapText="1"/>
    </xf>
    <xf numFmtId="168" fontId="3" fillId="0" borderId="6" xfId="2" applyNumberFormat="1" applyFont="1" applyFill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/>
    </xf>
    <xf numFmtId="0" fontId="1" fillId="0" borderId="6" xfId="1" applyBorder="1" applyAlignment="1">
      <alignment vertical="center"/>
    </xf>
    <xf numFmtId="0" fontId="4" fillId="0" borderId="6" xfId="1" applyFont="1" applyBorder="1" applyAlignment="1">
      <alignment horizontal="center" vertical="center" wrapText="1"/>
    </xf>
    <xf numFmtId="168" fontId="3" fillId="0" borderId="6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9" fontId="3" fillId="0" borderId="6" xfId="2" applyNumberFormat="1" applyFont="1" applyFill="1" applyBorder="1" applyAlignment="1">
      <alignment horizontal="center" vertical="center" wrapText="1"/>
    </xf>
    <xf numFmtId="170" fontId="3" fillId="5" borderId="9" xfId="1" applyNumberFormat="1" applyFont="1" applyFill="1" applyBorder="1" applyAlignment="1">
      <alignment horizontal="center" vertical="center" wrapText="1"/>
    </xf>
    <xf numFmtId="0" fontId="1" fillId="0" borderId="9" xfId="1" applyBorder="1" applyAlignment="1">
      <alignment vertical="center"/>
    </xf>
    <xf numFmtId="0" fontId="3" fillId="5" borderId="9" xfId="1" applyFont="1" applyFill="1" applyBorder="1" applyAlignment="1">
      <alignment horizontal="center" vertical="center" wrapText="1"/>
    </xf>
    <xf numFmtId="9" fontId="3" fillId="0" borderId="6" xfId="3" applyFont="1" applyFill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1" fillId="0" borderId="11" xfId="1" applyBorder="1" applyAlignment="1">
      <alignment vertical="center"/>
    </xf>
    <xf numFmtId="0" fontId="3" fillId="5" borderId="6" xfId="1" applyFont="1" applyFill="1" applyBorder="1" applyAlignment="1">
      <alignment horizontal="center" vertical="center" wrapText="1"/>
    </xf>
    <xf numFmtId="168" fontId="3" fillId="0" borderId="9" xfId="2" applyNumberFormat="1" applyFont="1" applyFill="1" applyBorder="1" applyAlignment="1">
      <alignment horizontal="center" vertical="center" wrapText="1"/>
    </xf>
    <xf numFmtId="10" fontId="1" fillId="0" borderId="5" xfId="3" applyNumberFormat="1" applyFont="1" applyFill="1" applyBorder="1" applyAlignment="1">
      <alignment vertical="center"/>
    </xf>
    <xf numFmtId="10" fontId="1" fillId="0" borderId="0" xfId="3" applyNumberFormat="1" applyFont="1" applyFill="1" applyAlignment="1">
      <alignment vertical="center"/>
    </xf>
    <xf numFmtId="0" fontId="1" fillId="0" borderId="12" xfId="1" applyBorder="1" applyAlignment="1">
      <alignment vertical="center"/>
    </xf>
    <xf numFmtId="171" fontId="3" fillId="0" borderId="6" xfId="1" applyNumberFormat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/>
    </xf>
    <xf numFmtId="0" fontId="1" fillId="0" borderId="6" xfId="1" applyBorder="1"/>
    <xf numFmtId="0" fontId="7" fillId="0" borderId="6" xfId="1" applyFont="1" applyBorder="1" applyAlignment="1">
      <alignment horizontal="center" vertical="center" wrapText="1"/>
    </xf>
    <xf numFmtId="0" fontId="5" fillId="5" borderId="6" xfId="1" applyFont="1" applyFill="1" applyBorder="1" applyAlignment="1">
      <alignment horizontal="center" vertical="center"/>
    </xf>
    <xf numFmtId="0" fontId="1" fillId="0" borderId="0" xfId="1"/>
    <xf numFmtId="164" fontId="7" fillId="0" borderId="0" xfId="2" applyNumberFormat="1" applyFont="1" applyFill="1" applyBorder="1" applyAlignment="1">
      <alignment horizontal="center" vertical="center"/>
    </xf>
    <xf numFmtId="164" fontId="5" fillId="0" borderId="13" xfId="2" applyNumberFormat="1" applyFont="1" applyFill="1" applyBorder="1" applyAlignment="1">
      <alignment horizontal="center"/>
    </xf>
    <xf numFmtId="0" fontId="9" fillId="0" borderId="0" xfId="1" applyFont="1" applyAlignment="1">
      <alignment horizontal="center"/>
    </xf>
    <xf numFmtId="0" fontId="1" fillId="0" borderId="13" xfId="1" applyBorder="1" applyAlignment="1">
      <alignment vertical="center"/>
    </xf>
    <xf numFmtId="1" fontId="9" fillId="0" borderId="0" xfId="1" applyNumberFormat="1" applyFont="1" applyAlignment="1">
      <alignment horizontal="left"/>
    </xf>
    <xf numFmtId="0" fontId="5" fillId="0" borderId="13" xfId="1" applyFont="1" applyBorder="1" applyAlignment="1">
      <alignment horizontal="center"/>
    </xf>
    <xf numFmtId="0" fontId="9" fillId="0" borderId="0" xfId="1" applyFont="1" applyAlignment="1">
      <alignment horizontal="right" wrapText="1"/>
    </xf>
    <xf numFmtId="0" fontId="9" fillId="0" borderId="0" xfId="1" applyFont="1" applyAlignment="1">
      <alignment horizontal="right"/>
    </xf>
    <xf numFmtId="1" fontId="5" fillId="0" borderId="0" xfId="1" applyNumberFormat="1" applyFont="1" applyAlignment="1">
      <alignment horizontal="left"/>
    </xf>
    <xf numFmtId="1" fontId="9" fillId="0" borderId="0" xfId="1" applyNumberFormat="1" applyFont="1" applyAlignment="1">
      <alignment horizontal="right"/>
    </xf>
    <xf numFmtId="0" fontId="1" fillId="6" borderId="14" xfId="1" applyFill="1" applyBorder="1"/>
    <xf numFmtId="167" fontId="5" fillId="6" borderId="14" xfId="2" applyFont="1" applyFill="1" applyBorder="1" applyAlignment="1">
      <alignment wrapText="1"/>
    </xf>
    <xf numFmtId="0" fontId="7" fillId="0" borderId="0" xfId="2" applyNumberFormat="1" applyFont="1" applyFill="1" applyBorder="1" applyAlignment="1">
      <alignment horizontal="center" vertical="center"/>
    </xf>
    <xf numFmtId="0" fontId="5" fillId="0" borderId="13" xfId="2" applyNumberFormat="1" applyFont="1" applyFill="1" applyBorder="1" applyAlignment="1">
      <alignment horizontal="center"/>
    </xf>
    <xf numFmtId="0" fontId="5" fillId="0" borderId="13" xfId="1" applyFont="1" applyBorder="1" applyAlignment="1">
      <alignment vertical="center"/>
    </xf>
    <xf numFmtId="0" fontId="1" fillId="0" borderId="0" xfId="1" applyAlignment="1">
      <alignment horizontal="center" vertical="center"/>
    </xf>
    <xf numFmtId="0" fontId="2" fillId="0" borderId="4" xfId="1" applyFont="1" applyBorder="1" applyAlignment="1">
      <alignment horizontal="left" vertical="center"/>
    </xf>
    <xf numFmtId="0" fontId="1" fillId="0" borderId="0" xfId="1" applyAlignment="1">
      <alignment horizontal="right" vertical="center"/>
    </xf>
    <xf numFmtId="0" fontId="1" fillId="0" borderId="14" xfId="1" applyBorder="1"/>
    <xf numFmtId="172" fontId="5" fillId="5" borderId="14" xfId="3" applyNumberFormat="1" applyFont="1" applyFill="1" applyBorder="1" applyAlignment="1">
      <alignment wrapText="1"/>
    </xf>
    <xf numFmtId="2" fontId="7" fillId="6" borderId="0" xfId="2" applyNumberFormat="1" applyFont="1" applyFill="1" applyBorder="1" applyAlignment="1">
      <alignment horizontal="center" vertical="center"/>
    </xf>
    <xf numFmtId="2" fontId="5" fillId="6" borderId="14" xfId="2" applyNumberFormat="1" applyFont="1" applyFill="1" applyBorder="1" applyAlignment="1">
      <alignment horizontal="center"/>
    </xf>
    <xf numFmtId="0" fontId="1" fillId="0" borderId="14" xfId="1" applyBorder="1" applyAlignment="1">
      <alignment vertical="center"/>
    </xf>
    <xf numFmtId="0" fontId="5" fillId="0" borderId="14" xfId="1" applyFont="1" applyBorder="1" applyAlignment="1">
      <alignment vertical="center"/>
    </xf>
    <xf numFmtId="0" fontId="1" fillId="0" borderId="15" xfId="1" applyBorder="1" applyAlignment="1">
      <alignment horizontal="left" vertical="center"/>
    </xf>
    <xf numFmtId="0" fontId="10" fillId="0" borderId="16" xfId="1" applyFont="1" applyBorder="1" applyAlignment="1">
      <alignment horizontal="center" vertical="center"/>
    </xf>
    <xf numFmtId="0" fontId="1" fillId="0" borderId="17" xfId="1" applyBorder="1" applyAlignment="1">
      <alignment vertical="center"/>
    </xf>
  </cellXfs>
  <cellStyles count="4">
    <cellStyle name="Comma [0] 2" xfId="2" xr:uid="{2CE4CAD4-86FE-4A11-AF2E-EC99A732ED6C}"/>
    <cellStyle name="Normal" xfId="0" builtinId="0"/>
    <cellStyle name="Normal 17 107 2 2" xfId="1" xr:uid="{CF0D4FCE-A000-47CD-A901-7CFF81C06CB4}"/>
    <cellStyle name="Percent 2" xfId="3" xr:uid="{2145F6BE-CC1C-4283-9D81-8DD1EE69DAF0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36857</xdr:colOff>
      <xdr:row>0</xdr:row>
      <xdr:rowOff>0</xdr:rowOff>
    </xdr:from>
    <xdr:ext cx="572304" cy="85725"/>
    <xdr:pic>
      <xdr:nvPicPr>
        <xdr:cNvPr id="2" name="Picture 1">
          <a:extLst>
            <a:ext uri="{FF2B5EF4-FFF2-40B4-BE49-F238E27FC236}">
              <a16:creationId xmlns:a16="http://schemas.microsoft.com/office/drawing/2014/main" id="{C699F850-063C-4093-947A-C8DB0B240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00057" y="0"/>
          <a:ext cx="572304" cy="85725"/>
        </a:xfrm>
        <a:prstGeom prst="rect">
          <a:avLst/>
        </a:prstGeom>
      </xdr:spPr>
    </xdr:pic>
    <xdr:clientData/>
  </xdr:oneCellAnchor>
  <xdr:twoCellAnchor>
    <xdr:from>
      <xdr:col>11</xdr:col>
      <xdr:colOff>108857</xdr:colOff>
      <xdr:row>8</xdr:row>
      <xdr:rowOff>27213</xdr:rowOff>
    </xdr:from>
    <xdr:to>
      <xdr:col>11</xdr:col>
      <xdr:colOff>858611</xdr:colOff>
      <xdr:row>13</xdr:row>
      <xdr:rowOff>312964</xdr:rowOff>
    </xdr:to>
    <xdr:sp macro="" textlink="">
      <xdr:nvSpPr>
        <xdr:cNvPr id="3" name="Down Arrow 5">
          <a:extLst>
            <a:ext uri="{FF2B5EF4-FFF2-40B4-BE49-F238E27FC236}">
              <a16:creationId xmlns:a16="http://schemas.microsoft.com/office/drawing/2014/main" id="{4437B584-738C-4686-94E6-023094C5BA93}"/>
            </a:ext>
          </a:extLst>
        </xdr:cNvPr>
        <xdr:cNvSpPr/>
      </xdr:nvSpPr>
      <xdr:spPr>
        <a:xfrm rot="10800000">
          <a:off x="6814457" y="1551213"/>
          <a:ext cx="502104" cy="111442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20</xdr:col>
      <xdr:colOff>36857</xdr:colOff>
      <xdr:row>1</xdr:row>
      <xdr:rowOff>108857</xdr:rowOff>
    </xdr:from>
    <xdr:ext cx="572304" cy="431006"/>
    <xdr:pic>
      <xdr:nvPicPr>
        <xdr:cNvPr id="4" name="Picture 3">
          <a:extLst>
            <a:ext uri="{FF2B5EF4-FFF2-40B4-BE49-F238E27FC236}">
              <a16:creationId xmlns:a16="http://schemas.microsoft.com/office/drawing/2014/main" id="{A07C416D-2234-4D26-941A-228629359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28857" y="299357"/>
          <a:ext cx="572304" cy="43100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470C3-E472-42CF-B77A-A034E1125139}">
  <dimension ref="A1:X58"/>
  <sheetViews>
    <sheetView tabSelected="1" zoomScale="80" zoomScaleNormal="80" workbookViewId="0">
      <selection activeCell="N5" sqref="N5"/>
    </sheetView>
  </sheetViews>
  <sheetFormatPr defaultColWidth="9.140625" defaultRowHeight="30" customHeight="1" x14ac:dyDescent="0.25"/>
  <cols>
    <col min="1" max="1" width="9.140625" style="1"/>
    <col min="2" max="2" width="1.85546875" style="1" customWidth="1"/>
    <col min="3" max="3" width="15.7109375" style="2" customWidth="1"/>
    <col min="4" max="6" width="9.7109375" style="3" customWidth="1"/>
    <col min="7" max="7" width="11.85546875" style="3" customWidth="1"/>
    <col min="8" max="8" width="9.7109375" style="3" customWidth="1"/>
    <col min="9" max="9" width="11.28515625" style="3" customWidth="1"/>
    <col min="10" max="10" width="36.42578125" style="2" customWidth="1"/>
    <col min="11" max="11" width="7.5703125" style="6" customWidth="1"/>
    <col min="12" max="12" width="14.140625" style="3" customWidth="1"/>
    <col min="13" max="13" width="7" style="5" customWidth="1"/>
    <col min="14" max="14" width="33.42578125" style="3" customWidth="1"/>
    <col min="15" max="15" width="10.7109375" style="3" customWidth="1"/>
    <col min="16" max="16" width="11.85546875" style="3" customWidth="1"/>
    <col min="17" max="17" width="11.7109375" style="4" customWidth="1"/>
    <col min="18" max="19" width="9.7109375" style="4" customWidth="1"/>
    <col min="20" max="20" width="9.7109375" style="3" customWidth="1"/>
    <col min="21" max="21" width="28.140625" style="2" customWidth="1"/>
    <col min="22" max="22" width="2.28515625" style="1" customWidth="1"/>
    <col min="23" max="16384" width="9.140625" style="1"/>
  </cols>
  <sheetData>
    <row r="1" spans="1:24" ht="30" customHeight="1" thickBot="1" x14ac:dyDescent="0.3"/>
    <row r="2" spans="1:24" ht="42" customHeight="1" x14ac:dyDescent="0.25">
      <c r="B2" s="88"/>
      <c r="C2" s="87" t="s">
        <v>57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6"/>
      <c r="W2" s="77"/>
      <c r="X2" s="77"/>
    </row>
    <row r="3" spans="1:24" ht="24" customHeight="1" x14ac:dyDescent="0.25">
      <c r="B3" s="27"/>
      <c r="C3" s="69" t="s">
        <v>56</v>
      </c>
      <c r="D3" s="85" t="s">
        <v>55</v>
      </c>
      <c r="E3" s="84"/>
      <c r="F3" s="84"/>
      <c r="G3" s="1"/>
      <c r="H3" s="1"/>
      <c r="I3" s="68" t="s">
        <v>54</v>
      </c>
      <c r="J3" s="83">
        <f>IF(E17=0,0,3600/E17)</f>
        <v>9.1370558375634516</v>
      </c>
      <c r="K3" s="82"/>
      <c r="L3" s="61"/>
      <c r="N3" s="69" t="s">
        <v>53</v>
      </c>
      <c r="O3" s="69"/>
      <c r="P3" s="69"/>
      <c r="Q3" s="81">
        <v>1</v>
      </c>
      <c r="R3" s="80"/>
      <c r="T3" s="61"/>
      <c r="U3" s="79"/>
      <c r="V3" s="78"/>
      <c r="W3" s="77"/>
      <c r="X3" s="77"/>
    </row>
    <row r="4" spans="1:24" ht="24" customHeight="1" x14ac:dyDescent="0.25">
      <c r="B4" s="27"/>
      <c r="C4" s="69" t="s">
        <v>52</v>
      </c>
      <c r="D4" s="76" t="s">
        <v>51</v>
      </c>
      <c r="E4" s="65"/>
      <c r="F4" s="65"/>
      <c r="G4" s="1"/>
      <c r="H4" s="1"/>
      <c r="I4" s="71" t="s">
        <v>50</v>
      </c>
      <c r="J4" s="75">
        <v>14</v>
      </c>
      <c r="K4" s="74"/>
      <c r="L4" s="61"/>
      <c r="N4" s="69" t="s">
        <v>49</v>
      </c>
      <c r="O4" s="69"/>
      <c r="P4" s="69"/>
      <c r="Q4" s="73">
        <f>Q3*J3*J5*J4</f>
        <v>0</v>
      </c>
      <c r="R4" s="72"/>
      <c r="T4" s="1"/>
      <c r="V4" s="26"/>
    </row>
    <row r="5" spans="1:24" ht="24" customHeight="1" x14ac:dyDescent="0.25">
      <c r="B5" s="27"/>
      <c r="C5" s="71" t="s">
        <v>48</v>
      </c>
      <c r="D5" s="70" t="s">
        <v>47</v>
      </c>
      <c r="E5" s="65"/>
      <c r="F5" s="65"/>
      <c r="G5" s="1"/>
      <c r="H5" s="1"/>
      <c r="I5" s="69" t="s">
        <v>46</v>
      </c>
      <c r="J5" s="63"/>
      <c r="K5" s="62"/>
      <c r="L5" s="61"/>
      <c r="N5" s="68" t="s">
        <v>45</v>
      </c>
      <c r="O5" s="68"/>
      <c r="P5" s="68"/>
      <c r="Q5" s="67"/>
      <c r="R5" s="67"/>
      <c r="T5" s="1"/>
      <c r="U5" s="1"/>
      <c r="V5" s="26"/>
    </row>
    <row r="6" spans="1:24" ht="13.5" customHeight="1" x14ac:dyDescent="0.25">
      <c r="B6" s="27"/>
      <c r="C6" s="66"/>
      <c r="D6" s="65"/>
      <c r="E6" s="65"/>
      <c r="F6" s="65"/>
      <c r="G6" s="1"/>
      <c r="H6" s="1"/>
      <c r="I6" s="64"/>
      <c r="J6" s="63"/>
      <c r="K6" s="62"/>
      <c r="L6" s="61"/>
      <c r="N6" s="61"/>
      <c r="O6" s="61"/>
      <c r="P6" s="61"/>
      <c r="Q6" s="61"/>
      <c r="R6" s="61"/>
      <c r="T6" s="1"/>
      <c r="U6" s="1"/>
      <c r="V6" s="26"/>
    </row>
    <row r="7" spans="1:24" ht="31.5" customHeight="1" x14ac:dyDescent="0.25">
      <c r="B7" s="27"/>
      <c r="C7" s="54" t="s">
        <v>44</v>
      </c>
      <c r="D7" s="55" t="s">
        <v>43</v>
      </c>
      <c r="E7" s="60" t="s">
        <v>42</v>
      </c>
      <c r="F7" s="55" t="s">
        <v>41</v>
      </c>
      <c r="G7" s="55" t="s">
        <v>36</v>
      </c>
      <c r="H7" s="55" t="s">
        <v>37</v>
      </c>
      <c r="I7" s="55" t="s">
        <v>38</v>
      </c>
      <c r="J7" s="54" t="s">
        <v>39</v>
      </c>
      <c r="K7" s="59"/>
      <c r="L7" s="58" t="s">
        <v>40</v>
      </c>
      <c r="M7" s="57"/>
      <c r="N7" s="56" t="s">
        <v>39</v>
      </c>
      <c r="O7" s="54" t="s">
        <v>38</v>
      </c>
      <c r="P7" s="56" t="s">
        <v>37</v>
      </c>
      <c r="Q7" s="56" t="s">
        <v>36</v>
      </c>
      <c r="R7" s="54" t="str">
        <f>F7</f>
        <v>CT (jam)</v>
      </c>
      <c r="S7" s="54" t="str">
        <f>E7</f>
        <v>CT (dt)</v>
      </c>
      <c r="T7" s="55" t="str">
        <f>D7</f>
        <v>MP</v>
      </c>
      <c r="U7" s="54" t="str">
        <f>C7</f>
        <v>NAMA OP.</v>
      </c>
      <c r="V7" s="26"/>
    </row>
    <row r="8" spans="1:24" ht="9" customHeight="1" x14ac:dyDescent="0.25">
      <c r="B8" s="27"/>
      <c r="C8" s="1"/>
      <c r="D8" s="1"/>
      <c r="E8" s="1"/>
      <c r="F8" s="1"/>
      <c r="G8" s="1"/>
      <c r="H8" s="1"/>
      <c r="I8" s="1"/>
      <c r="J8" s="1"/>
      <c r="K8" s="10"/>
      <c r="L8" s="1"/>
      <c r="N8" s="1"/>
      <c r="O8" s="1"/>
      <c r="P8" s="1"/>
      <c r="Q8" s="1"/>
      <c r="R8" s="1"/>
      <c r="S8" s="1"/>
      <c r="T8" s="1"/>
      <c r="U8" s="1"/>
      <c r="V8" s="26"/>
    </row>
    <row r="9" spans="1:24" ht="31.5" customHeight="1" x14ac:dyDescent="0.25">
      <c r="A9" s="51"/>
      <c r="B9" s="50"/>
      <c r="C9" s="35"/>
      <c r="D9" s="41">
        <f>IF(E9=0,0,(E9/$E$17)*$J$4)</f>
        <v>0</v>
      </c>
      <c r="E9" s="44"/>
      <c r="F9" s="35">
        <f>IF(E9=0,0,3600/E9)</f>
        <v>0</v>
      </c>
      <c r="G9" s="35"/>
      <c r="H9" s="35"/>
      <c r="I9" s="53"/>
      <c r="J9" s="34"/>
      <c r="K9" s="38"/>
      <c r="L9" s="52"/>
      <c r="M9" s="36"/>
      <c r="N9" s="34"/>
      <c r="O9" s="34"/>
      <c r="P9" s="34"/>
      <c r="Q9" s="34"/>
      <c r="R9" s="35">
        <f>IF(S9=0,0,3600/S9)</f>
        <v>0</v>
      </c>
      <c r="S9" s="42"/>
      <c r="T9" s="41">
        <f>IF(S9=0,0,(S9/$E$17)*$J$4)</f>
        <v>0</v>
      </c>
      <c r="U9" s="45"/>
      <c r="V9" s="26"/>
    </row>
    <row r="10" spans="1:24" ht="34.5" customHeight="1" x14ac:dyDescent="0.25">
      <c r="A10" s="51"/>
      <c r="B10" s="50"/>
      <c r="C10" s="49"/>
      <c r="D10" s="41">
        <f>IF(E10=0,0,(E10/$E$17)*$J$4)</f>
        <v>0</v>
      </c>
      <c r="E10" s="44"/>
      <c r="F10" s="35">
        <f>IF(E10=0,0,3600/E10)</f>
        <v>0</v>
      </c>
      <c r="G10" s="35"/>
      <c r="H10" s="35"/>
      <c r="I10" s="34"/>
      <c r="J10" s="40"/>
      <c r="K10" s="38">
        <v>10</v>
      </c>
      <c r="L10" s="47"/>
      <c r="M10" s="36">
        <v>9</v>
      </c>
      <c r="N10" s="46" t="s">
        <v>35</v>
      </c>
      <c r="O10" s="46" t="s">
        <v>30</v>
      </c>
      <c r="P10" s="46" t="s">
        <v>31</v>
      </c>
      <c r="Q10" s="34"/>
      <c r="R10" s="35">
        <f>IF(S10=0,0,3600/S10)</f>
        <v>72</v>
      </c>
      <c r="S10" s="42">
        <v>50</v>
      </c>
      <c r="T10" s="41">
        <f>IF(S10=0,0,(S10/$E$17)*$J$4)</f>
        <v>1.7766497461928932</v>
      </c>
      <c r="U10" s="45"/>
      <c r="V10" s="26"/>
    </row>
    <row r="11" spans="1:24" ht="34.5" customHeight="1" x14ac:dyDescent="0.25">
      <c r="A11" s="51"/>
      <c r="B11" s="50"/>
      <c r="C11" s="49"/>
      <c r="D11" s="41">
        <f>IF(E11=0,0,(E11/$E$17)*$J$4)</f>
        <v>2.3096446700507611</v>
      </c>
      <c r="E11" s="44">
        <v>65</v>
      </c>
      <c r="F11" s="35">
        <f>IF(E11=0,0,3600/E11)</f>
        <v>55.384615384615387</v>
      </c>
      <c r="G11" s="35"/>
      <c r="H11" s="35" t="s">
        <v>34</v>
      </c>
      <c r="I11" s="34" t="s">
        <v>19</v>
      </c>
      <c r="J11" s="40" t="s">
        <v>33</v>
      </c>
      <c r="K11" s="38">
        <v>8</v>
      </c>
      <c r="L11" s="47"/>
      <c r="M11" s="36">
        <v>7</v>
      </c>
      <c r="N11" s="46" t="s">
        <v>32</v>
      </c>
      <c r="O11" s="46" t="s">
        <v>19</v>
      </c>
      <c r="P11" s="46" t="s">
        <v>18</v>
      </c>
      <c r="Q11" s="34"/>
      <c r="R11" s="35">
        <f>IF(S11=0,0,3600/S11)</f>
        <v>65.454545454545453</v>
      </c>
      <c r="S11" s="42">
        <v>55</v>
      </c>
      <c r="T11" s="41">
        <f>IF(S11=0,0,(S11/$E$17)*$J$4)</f>
        <v>1.9543147208121827</v>
      </c>
      <c r="U11" s="45"/>
      <c r="V11" s="26"/>
    </row>
    <row r="12" spans="1:24" ht="34.5" customHeight="1" x14ac:dyDescent="0.25">
      <c r="A12" s="51"/>
      <c r="B12" s="50"/>
      <c r="C12" s="49"/>
      <c r="D12" s="41">
        <f>IF(E12=0,0,(E12/$E$17)*$J$4)</f>
        <v>1.7766497461928932</v>
      </c>
      <c r="E12" s="44">
        <v>50</v>
      </c>
      <c r="F12" s="35">
        <f>IF(E12=0,0,3600/E12)</f>
        <v>72</v>
      </c>
      <c r="G12" s="35"/>
      <c r="H12" s="35" t="s">
        <v>31</v>
      </c>
      <c r="I12" s="34" t="s">
        <v>30</v>
      </c>
      <c r="J12" s="40" t="s">
        <v>29</v>
      </c>
      <c r="K12" s="38">
        <v>6</v>
      </c>
      <c r="L12" s="47"/>
      <c r="M12" s="36">
        <v>5</v>
      </c>
      <c r="N12" s="46" t="s">
        <v>28</v>
      </c>
      <c r="O12" s="46" t="s">
        <v>22</v>
      </c>
      <c r="P12" s="46" t="s">
        <v>27</v>
      </c>
      <c r="Q12" s="34" t="s">
        <v>24</v>
      </c>
      <c r="R12" s="35">
        <f>IF(S12=0,0,3600/S12)</f>
        <v>55.384615384615387</v>
      </c>
      <c r="S12" s="42">
        <v>65</v>
      </c>
      <c r="T12" s="41">
        <f>IF(S12=0,0,(S12/$E$17)*$J$4)</f>
        <v>2.3096446700507611</v>
      </c>
      <c r="U12" s="45"/>
      <c r="V12" s="26"/>
    </row>
    <row r="13" spans="1:24" ht="34.5" customHeight="1" x14ac:dyDescent="0.25">
      <c r="A13" s="51"/>
      <c r="B13" s="50"/>
      <c r="C13" s="49"/>
      <c r="D13" s="41">
        <f>IF(E13=0,0,(E13/$E$17)*$J$4)</f>
        <v>1.4213197969543148</v>
      </c>
      <c r="E13" s="48">
        <v>40</v>
      </c>
      <c r="F13" s="35">
        <f>IF(E13=0,0,3600/E13)</f>
        <v>90</v>
      </c>
      <c r="G13" s="35" t="s">
        <v>24</v>
      </c>
      <c r="H13" s="35" t="s">
        <v>23</v>
      </c>
      <c r="I13" s="34" t="s">
        <v>22</v>
      </c>
      <c r="J13" s="40" t="s">
        <v>26</v>
      </c>
      <c r="K13" s="38">
        <v>4</v>
      </c>
      <c r="L13" s="47"/>
      <c r="M13" s="36">
        <v>3</v>
      </c>
      <c r="N13" s="46" t="s">
        <v>25</v>
      </c>
      <c r="O13" s="46" t="s">
        <v>19</v>
      </c>
      <c r="P13" s="46" t="s">
        <v>18</v>
      </c>
      <c r="Q13" s="34"/>
      <c r="R13" s="35">
        <f>IF(S13=0,0,3600/S13)</f>
        <v>80</v>
      </c>
      <c r="S13" s="42">
        <v>45</v>
      </c>
      <c r="T13" s="41">
        <f>IF(S13=0,0,(S13/$E$17)*$J$4)</f>
        <v>1.5989847715736041</v>
      </c>
      <c r="U13" s="45"/>
      <c r="V13" s="26"/>
    </row>
    <row r="14" spans="1:24" ht="34.5" customHeight="1" x14ac:dyDescent="0.25">
      <c r="B14" s="27"/>
      <c r="C14" s="40"/>
      <c r="D14" s="41">
        <f>IF(E14=0,0,(E14/$E$17)*$J$4)</f>
        <v>0.14213197969543145</v>
      </c>
      <c r="E14" s="44">
        <v>4</v>
      </c>
      <c r="F14" s="35">
        <f>IF(E14=0,0,3600/E14)</f>
        <v>900</v>
      </c>
      <c r="G14" s="35" t="s">
        <v>24</v>
      </c>
      <c r="H14" s="35" t="s">
        <v>23</v>
      </c>
      <c r="I14" s="34" t="s">
        <v>22</v>
      </c>
      <c r="J14" s="40" t="s">
        <v>21</v>
      </c>
      <c r="K14" s="38">
        <v>2</v>
      </c>
      <c r="L14" s="43"/>
      <c r="M14" s="36">
        <v>1</v>
      </c>
      <c r="N14" s="40" t="s">
        <v>20</v>
      </c>
      <c r="O14" s="40" t="s">
        <v>19</v>
      </c>
      <c r="P14" s="40" t="s">
        <v>18</v>
      </c>
      <c r="Q14" s="34"/>
      <c r="R14" s="35">
        <f>IF(S14=0,0,3600/S14)</f>
        <v>180</v>
      </c>
      <c r="S14" s="42">
        <v>20</v>
      </c>
      <c r="T14" s="41">
        <f>IF(S14=0,0,(S14/$E$17)*$J$4)</f>
        <v>0.71065989847715738</v>
      </c>
      <c r="U14" s="40"/>
      <c r="V14" s="26"/>
    </row>
    <row r="15" spans="1:24" ht="30" customHeight="1" x14ac:dyDescent="0.25">
      <c r="B15" s="27"/>
      <c r="C15" s="1"/>
      <c r="D15" s="1"/>
      <c r="E15" s="1"/>
      <c r="F15" s="1"/>
      <c r="G15" s="1"/>
      <c r="H15" s="1"/>
      <c r="I15" s="1"/>
      <c r="J15" s="1"/>
      <c r="K15" s="10"/>
      <c r="L15" s="1"/>
      <c r="N15" s="1"/>
      <c r="O15" s="1"/>
      <c r="P15" s="1"/>
      <c r="Q15" s="1"/>
      <c r="R15" s="1"/>
      <c r="S15" s="1"/>
      <c r="T15" s="1"/>
      <c r="U15" s="1"/>
      <c r="V15" s="26"/>
    </row>
    <row r="16" spans="1:24" ht="34.5" customHeight="1" x14ac:dyDescent="0.25">
      <c r="B16" s="27"/>
      <c r="C16" s="34" t="s">
        <v>17</v>
      </c>
      <c r="D16" s="35">
        <f>SUM(D9:D15)</f>
        <v>5.6497461928934003</v>
      </c>
      <c r="E16" s="35">
        <f>SUM(E9:E15)</f>
        <v>159</v>
      </c>
      <c r="F16" s="35">
        <f>SUM(F9:F15)</f>
        <v>1117.3846153846155</v>
      </c>
      <c r="G16" s="35"/>
      <c r="H16" s="35"/>
      <c r="I16" s="34"/>
      <c r="J16" s="34"/>
      <c r="K16" s="38"/>
      <c r="L16" s="37"/>
      <c r="M16" s="36"/>
      <c r="N16" s="34" t="s">
        <v>16</v>
      </c>
      <c r="O16" s="34"/>
      <c r="P16" s="34"/>
      <c r="Q16" s="34"/>
      <c r="R16" s="39">
        <f>SUM(R9:R15)</f>
        <v>452.83916083916085</v>
      </c>
      <c r="S16" s="39">
        <f>SUM(S9:S15)</f>
        <v>235</v>
      </c>
      <c r="T16" s="39">
        <f>SUM(T9:T15)</f>
        <v>8.3502538071065988</v>
      </c>
      <c r="U16" s="34"/>
      <c r="V16" s="26"/>
    </row>
    <row r="17" spans="2:22" ht="18.75" x14ac:dyDescent="0.25">
      <c r="B17" s="27"/>
      <c r="C17" s="34" t="s">
        <v>15</v>
      </c>
      <c r="D17" s="35">
        <f>D16+T16</f>
        <v>14</v>
      </c>
      <c r="E17" s="35">
        <f>E16+S16</f>
        <v>394</v>
      </c>
      <c r="F17" s="35">
        <f>F16+R16</f>
        <v>1570.2237762237764</v>
      </c>
      <c r="G17" s="35"/>
      <c r="H17" s="35"/>
      <c r="I17" s="35"/>
      <c r="J17" s="34"/>
      <c r="K17" s="38"/>
      <c r="L17" s="37"/>
      <c r="M17" s="36"/>
      <c r="N17" s="34"/>
      <c r="O17" s="34"/>
      <c r="P17" s="34"/>
      <c r="Q17" s="34"/>
      <c r="R17" s="35"/>
      <c r="S17" s="34"/>
      <c r="T17" s="34"/>
      <c r="U17" s="34"/>
      <c r="V17" s="26"/>
    </row>
    <row r="18" spans="2:22" ht="18.75" x14ac:dyDescent="0.25">
      <c r="B18" s="27"/>
      <c r="C18" s="33" t="s">
        <v>14</v>
      </c>
      <c r="D18" s="32"/>
      <c r="E18" s="31">
        <f>E17/60</f>
        <v>6.5666666666666664</v>
      </c>
      <c r="F18" s="30"/>
      <c r="G18" s="30"/>
      <c r="H18" s="30"/>
      <c r="L18" s="2"/>
      <c r="M18" s="16"/>
      <c r="N18" s="2"/>
      <c r="O18" s="2"/>
      <c r="P18" s="2"/>
      <c r="Q18" s="9"/>
      <c r="R18" s="29"/>
      <c r="S18" s="29"/>
      <c r="V18" s="26"/>
    </row>
    <row r="19" spans="2:22" ht="18.75" x14ac:dyDescent="0.25">
      <c r="B19" s="27"/>
      <c r="D19" s="2"/>
      <c r="E19" s="2"/>
      <c r="F19" s="30"/>
      <c r="G19" s="30"/>
      <c r="H19" s="30"/>
      <c r="L19" s="2"/>
      <c r="M19" s="16"/>
      <c r="N19" s="2"/>
      <c r="O19" s="2"/>
      <c r="P19" s="2"/>
      <c r="Q19" s="9"/>
      <c r="R19" s="29"/>
      <c r="S19" s="29"/>
      <c r="V19" s="26"/>
    </row>
    <row r="20" spans="2:22" ht="18.75" x14ac:dyDescent="0.25">
      <c r="B20" s="27"/>
      <c r="E20" s="28" t="s">
        <v>13</v>
      </c>
      <c r="F20" s="28"/>
      <c r="G20" s="28"/>
      <c r="H20" s="28"/>
      <c r="I20" s="28"/>
      <c r="L20" s="2"/>
      <c r="M20" s="16"/>
      <c r="N20" s="28" t="s">
        <v>12</v>
      </c>
      <c r="O20" s="28"/>
      <c r="P20" s="28"/>
      <c r="Q20" s="28"/>
      <c r="R20" s="28"/>
      <c r="S20" s="28"/>
      <c r="T20" s="28"/>
      <c r="U20" s="28"/>
      <c r="V20" s="26"/>
    </row>
    <row r="21" spans="2:22" ht="18.75" x14ac:dyDescent="0.25">
      <c r="B21" s="27"/>
      <c r="E21" s="28" t="s">
        <v>11</v>
      </c>
      <c r="F21" s="28"/>
      <c r="G21" s="28"/>
      <c r="H21" s="28"/>
      <c r="I21" s="28"/>
      <c r="L21" s="4"/>
      <c r="M21" s="16"/>
      <c r="N21" s="4" t="s">
        <v>10</v>
      </c>
      <c r="O21" s="4"/>
      <c r="P21" s="4"/>
      <c r="T21" s="28" t="s">
        <v>9</v>
      </c>
      <c r="U21" s="28"/>
      <c r="V21" s="26"/>
    </row>
    <row r="22" spans="2:22" ht="18.75" x14ac:dyDescent="0.25">
      <c r="B22" s="27"/>
      <c r="I22" s="2"/>
      <c r="L22" s="2"/>
      <c r="M22" s="16"/>
      <c r="N22" s="2"/>
      <c r="O22" s="2"/>
      <c r="P22" s="2"/>
      <c r="T22" s="2"/>
      <c r="V22" s="26"/>
    </row>
    <row r="23" spans="2:22" ht="18.75" x14ac:dyDescent="0.25">
      <c r="B23" s="27"/>
      <c r="I23" s="2"/>
      <c r="L23" s="2"/>
      <c r="M23" s="16"/>
      <c r="N23" s="2"/>
      <c r="O23" s="2"/>
      <c r="P23" s="2"/>
      <c r="T23" s="2"/>
      <c r="V23" s="26"/>
    </row>
    <row r="24" spans="2:22" ht="18.75" x14ac:dyDescent="0.25">
      <c r="B24" s="27"/>
      <c r="E24" s="28" t="s">
        <v>7</v>
      </c>
      <c r="F24" s="28"/>
      <c r="G24" s="28"/>
      <c r="H24" s="28"/>
      <c r="I24" s="28"/>
      <c r="L24" s="4"/>
      <c r="M24" s="16"/>
      <c r="N24" s="4" t="s">
        <v>8</v>
      </c>
      <c r="O24" s="4"/>
      <c r="P24" s="4"/>
      <c r="T24" s="28" t="s">
        <v>7</v>
      </c>
      <c r="U24" s="28"/>
      <c r="V24" s="26"/>
    </row>
    <row r="25" spans="2:22" ht="18.75" x14ac:dyDescent="0.25">
      <c r="B25" s="27"/>
      <c r="L25" s="2"/>
      <c r="M25" s="16"/>
      <c r="N25" s="2"/>
      <c r="O25" s="2"/>
      <c r="P25" s="2"/>
      <c r="V25" s="26"/>
    </row>
    <row r="26" spans="2:22" ht="19.5" thickBot="1" x14ac:dyDescent="0.3">
      <c r="B26" s="25"/>
      <c r="C26" s="20"/>
      <c r="D26" s="21"/>
      <c r="E26" s="21"/>
      <c r="F26" s="21"/>
      <c r="G26" s="21"/>
      <c r="H26" s="21"/>
      <c r="I26" s="21"/>
      <c r="J26" s="20"/>
      <c r="K26" s="24"/>
      <c r="L26" s="20"/>
      <c r="M26" s="23"/>
      <c r="N26" s="20"/>
      <c r="O26" s="20"/>
      <c r="P26" s="20"/>
      <c r="Q26" s="22"/>
      <c r="R26" s="22"/>
      <c r="S26" s="22"/>
      <c r="T26" s="21"/>
      <c r="U26" s="20"/>
      <c r="V26" s="19"/>
    </row>
    <row r="27" spans="2:22" s="3" customFormat="1" ht="21" x14ac:dyDescent="0.25">
      <c r="C27" s="18" t="s">
        <v>6</v>
      </c>
      <c r="D27" s="18"/>
      <c r="E27" s="18"/>
      <c r="I27" s="18"/>
      <c r="J27" s="18" t="s">
        <v>5</v>
      </c>
      <c r="K27" s="17"/>
      <c r="L27" s="2"/>
      <c r="M27" s="16"/>
      <c r="N27" s="2"/>
      <c r="O27" s="2"/>
      <c r="P27" s="2"/>
      <c r="Q27" s="4"/>
      <c r="R27" s="4"/>
      <c r="S27" s="4"/>
      <c r="U27" s="2"/>
      <c r="V27" s="1"/>
    </row>
    <row r="28" spans="2:22" s="3" customFormat="1" ht="21" x14ac:dyDescent="0.25">
      <c r="C28" s="18" t="s">
        <v>4</v>
      </c>
      <c r="D28" s="18"/>
      <c r="E28" s="18"/>
      <c r="I28" s="18"/>
      <c r="J28" s="18" t="s">
        <v>3</v>
      </c>
      <c r="K28" s="17"/>
      <c r="L28" s="2"/>
      <c r="M28" s="16"/>
      <c r="N28" s="2"/>
      <c r="O28" s="2"/>
      <c r="P28" s="2"/>
      <c r="Q28" s="4"/>
      <c r="R28" s="4"/>
      <c r="S28" s="4"/>
      <c r="U28" s="2"/>
      <c r="V28" s="1"/>
    </row>
    <row r="29" spans="2:22" s="3" customFormat="1" ht="18.75" x14ac:dyDescent="0.25">
      <c r="C29" s="2"/>
      <c r="J29" s="2"/>
      <c r="K29" s="6"/>
      <c r="L29" s="2"/>
      <c r="M29" s="16"/>
      <c r="N29" s="2"/>
      <c r="O29" s="2"/>
      <c r="P29" s="2"/>
      <c r="Q29" s="4"/>
      <c r="R29" s="4"/>
      <c r="S29" s="4"/>
      <c r="U29" s="2"/>
      <c r="V29" s="1"/>
    </row>
    <row r="30" spans="2:22" s="3" customFormat="1" ht="21" x14ac:dyDescent="0.25">
      <c r="C30" s="15" t="s">
        <v>2</v>
      </c>
      <c r="D30" s="14"/>
      <c r="J30" s="2"/>
      <c r="K30" s="6"/>
      <c r="L30" s="2"/>
      <c r="M30" s="16"/>
      <c r="N30" s="2"/>
      <c r="O30" s="2"/>
      <c r="P30" s="2"/>
      <c r="Q30" s="4"/>
      <c r="R30" s="4"/>
      <c r="S30" s="4"/>
      <c r="U30" s="2"/>
      <c r="V30" s="1"/>
    </row>
    <row r="31" spans="2:22" s="3" customFormat="1" ht="21" x14ac:dyDescent="0.25">
      <c r="C31" s="15" t="s">
        <v>1</v>
      </c>
      <c r="D31" s="14"/>
      <c r="J31" s="2"/>
      <c r="K31" s="6"/>
      <c r="L31" s="2"/>
      <c r="M31" s="16"/>
      <c r="N31" s="2"/>
      <c r="O31" s="2"/>
      <c r="P31" s="2"/>
      <c r="Q31" s="2"/>
      <c r="R31" s="13"/>
      <c r="S31" s="13"/>
      <c r="U31" s="2"/>
      <c r="V31" s="1"/>
    </row>
    <row r="32" spans="2:22" s="3" customFormat="1" ht="21" x14ac:dyDescent="0.25">
      <c r="C32" s="15" t="s">
        <v>0</v>
      </c>
      <c r="D32" s="14"/>
      <c r="J32" s="2"/>
      <c r="K32" s="6"/>
      <c r="M32" s="5"/>
      <c r="Q32" s="2"/>
      <c r="R32" s="13"/>
      <c r="S32" s="13"/>
      <c r="U32" s="2"/>
      <c r="V32" s="1"/>
    </row>
    <row r="33" spans="3:21" ht="18.75" x14ac:dyDescent="0.25"/>
    <row r="34" spans="3:21" ht="18.75" x14ac:dyDescent="0.25"/>
    <row r="35" spans="3:21" ht="18.75" x14ac:dyDescent="0.25"/>
    <row r="36" spans="3:21" ht="18.75" x14ac:dyDescent="0.25">
      <c r="C36" s="1"/>
      <c r="D36" s="1"/>
      <c r="E36" s="1"/>
      <c r="F36" s="1"/>
      <c r="G36" s="1"/>
      <c r="H36" s="1"/>
      <c r="I36" s="1"/>
      <c r="J36" s="1"/>
      <c r="K36" s="10"/>
      <c r="L36" s="1"/>
      <c r="N36" s="1"/>
      <c r="O36" s="1"/>
      <c r="P36" s="1"/>
      <c r="Q36" s="1"/>
      <c r="R36" s="1"/>
      <c r="S36" s="1"/>
      <c r="T36" s="1"/>
      <c r="U36" s="12"/>
    </row>
    <row r="37" spans="3:21" ht="18.75" x14ac:dyDescent="0.25">
      <c r="C37" s="1"/>
      <c r="D37" s="1"/>
      <c r="E37" s="1"/>
      <c r="F37" s="1"/>
      <c r="G37" s="1"/>
      <c r="H37" s="1"/>
      <c r="I37" s="1"/>
      <c r="J37" s="1"/>
      <c r="K37" s="10"/>
      <c r="L37" s="1"/>
      <c r="Q37" s="9"/>
      <c r="R37" s="11"/>
      <c r="S37" s="11"/>
      <c r="T37" s="11"/>
    </row>
    <row r="38" spans="3:21" ht="18.75" x14ac:dyDescent="0.25">
      <c r="C38" s="1"/>
      <c r="D38" s="1"/>
      <c r="E38" s="1"/>
      <c r="F38" s="1"/>
      <c r="G38" s="1"/>
      <c r="H38" s="1"/>
      <c r="I38" s="1"/>
      <c r="J38" s="1"/>
      <c r="K38" s="10"/>
      <c r="L38" s="1"/>
      <c r="N38" s="1"/>
      <c r="O38" s="1"/>
      <c r="P38" s="1"/>
      <c r="Q38" s="9"/>
      <c r="R38" s="8"/>
      <c r="S38" s="8"/>
    </row>
    <row r="39" spans="3:21" ht="18.75" x14ac:dyDescent="0.25">
      <c r="C39" s="1"/>
      <c r="D39" s="1"/>
    </row>
    <row r="40" spans="3:21" ht="18.75" x14ac:dyDescent="0.25">
      <c r="C40" s="1"/>
      <c r="D40" s="1"/>
    </row>
    <row r="41" spans="3:21" ht="18.75" x14ac:dyDescent="0.25">
      <c r="C41" s="1"/>
      <c r="D41" s="1"/>
    </row>
    <row r="42" spans="3:21" ht="18.75" x14ac:dyDescent="0.25">
      <c r="C42" s="1"/>
      <c r="D42" s="1"/>
      <c r="E42" s="1"/>
      <c r="F42" s="7"/>
      <c r="G42" s="7"/>
      <c r="H42" s="7"/>
      <c r="I42" s="7"/>
    </row>
    <row r="43" spans="3:21" ht="18.75" x14ac:dyDescent="0.25">
      <c r="C43" s="1"/>
      <c r="D43" s="1"/>
      <c r="E43" s="1"/>
    </row>
    <row r="44" spans="3:21" ht="18.75" x14ac:dyDescent="0.25"/>
    <row r="45" spans="3:21" ht="18.75" x14ac:dyDescent="0.25"/>
    <row r="46" spans="3:21" ht="18.75" x14ac:dyDescent="0.25"/>
    <row r="47" spans="3:21" ht="18.75" x14ac:dyDescent="0.25"/>
    <row r="48" spans="3:21" ht="18.75" x14ac:dyDescent="0.25"/>
    <row r="49" s="1" customFormat="1" ht="15" x14ac:dyDescent="0.25"/>
    <row r="50" s="1" customFormat="1" ht="15" x14ac:dyDescent="0.25"/>
    <row r="51" s="1" customFormat="1" ht="15" x14ac:dyDescent="0.25"/>
    <row r="52" s="1" customFormat="1" ht="15" x14ac:dyDescent="0.25"/>
    <row r="53" s="1" customFormat="1" ht="15" x14ac:dyDescent="0.25"/>
    <row r="54" s="1" customFormat="1" ht="15" x14ac:dyDescent="0.25"/>
    <row r="55" s="1" customFormat="1" ht="15" x14ac:dyDescent="0.25"/>
    <row r="56" s="1" customFormat="1" ht="15" x14ac:dyDescent="0.25"/>
    <row r="57" s="1" customFormat="1" ht="15" x14ac:dyDescent="0.25"/>
    <row r="58" s="1" customFormat="1" ht="15" x14ac:dyDescent="0.25"/>
  </sheetData>
  <mergeCells count="9">
    <mergeCell ref="E24:I24"/>
    <mergeCell ref="T24:U24"/>
    <mergeCell ref="C2:U2"/>
    <mergeCell ref="Q5:R5"/>
    <mergeCell ref="C18:D18"/>
    <mergeCell ref="E20:I20"/>
    <mergeCell ref="N20:U20"/>
    <mergeCell ref="E21:I21"/>
    <mergeCell ref="T21:U21"/>
  </mergeCells>
  <conditionalFormatting sqref="D9:D14 T9:T14">
    <cfRule type="cellIs" dxfId="0" priority="1" operator="lessThan">
      <formula>1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2026-07-28T04:53:19Z</dcterms:created>
  <dcterms:modified xsi:type="dcterms:W3CDTF">2026-07-28T04:53:28Z</dcterms:modified>
</cp:coreProperties>
</file>